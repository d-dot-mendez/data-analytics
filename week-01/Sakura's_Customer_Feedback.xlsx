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naemendez\Documents\DataAnalytics\week-01\"/>
    </mc:Choice>
  </mc:AlternateContent>
  <xr:revisionPtr revIDLastSave="0" documentId="8_{7E14826F-6A25-43EA-A8B5-F63698029C4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ait Time Rating" sheetId="13" r:id="rId1"/>
    <sheet name="Customer Survey Feedback" sheetId="1" r:id="rId2"/>
    <sheet name="Customer Service Rating" sheetId="5" r:id="rId3"/>
    <sheet name="Food Rating" sheetId="12" r:id="rId4"/>
    <sheet name="Added Table" sheetId="2" r:id="rId5"/>
  </sheets>
  <calcPr calcId="191028"/>
  <pivotCaches>
    <pivotCache cacheId="33" r:id="rId6"/>
    <pivotCache cacheId="57" r:id="rId7"/>
    <pivotCache cacheId="6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G15" i="2"/>
  <c r="H15" i="2"/>
  <c r="I15" i="2"/>
  <c r="J15" i="2"/>
  <c r="G16" i="2"/>
  <c r="H16" i="2"/>
  <c r="I16" i="2"/>
  <c r="D3" i="2"/>
  <c r="D4" i="2"/>
  <c r="D5" i="2"/>
  <c r="D6" i="2"/>
  <c r="D7" i="2"/>
  <c r="D8" i="2"/>
  <c r="D9" i="2"/>
  <c r="D10" i="2"/>
  <c r="D2" i="2"/>
  <c r="D11" i="2"/>
  <c r="J14" i="2"/>
  <c r="I14" i="2"/>
  <c r="G14" i="2"/>
  <c r="G12" i="1"/>
  <c r="D12" i="1"/>
  <c r="D2" i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<sst xmlns="http://schemas.openxmlformats.org/spreadsheetml/2006/main" count="102" uniqueCount="38">
  <si>
    <t>Id</t>
  </si>
  <si>
    <t>Start time</t>
  </si>
  <si>
    <t>Completion time</t>
  </si>
  <si>
    <t>Email</t>
  </si>
  <si>
    <t>Name</t>
  </si>
  <si>
    <t>How was your visit at Sakura's?</t>
  </si>
  <si>
    <t>How would you rate the customer service at Sakura's?</t>
  </si>
  <si>
    <t>How would you rate the food at Sakura's?</t>
  </si>
  <si>
    <t>How long did you have to wait for you food to arrive?</t>
  </si>
  <si>
    <t>In your opinion, how could Sakura improve?</t>
  </si>
  <si>
    <t>anonymous</t>
  </si>
  <si>
    <t>10-15 minutes</t>
  </si>
  <si>
    <t>Open more locations!</t>
  </si>
  <si>
    <t>If the wait time were a little shorter then this would be the perfect experience. The food was still very good tho when it came it so it was worth the wait</t>
  </si>
  <si>
    <t xml:space="preserve">Wait time was a little long but the food was so good it was well worth the wait </t>
  </si>
  <si>
    <t>5-10 minutes</t>
  </si>
  <si>
    <t>Her food is magical 😍, it's like getting a hug 🤗</t>
  </si>
  <si>
    <t>They could improve the cleanliness of their lobby</t>
  </si>
  <si>
    <t xml:space="preserve">You could improve Sakuras by expanding your dessert options </t>
  </si>
  <si>
    <t xml:space="preserve">I would like more sauce choices </t>
  </si>
  <si>
    <t xml:space="preserve">They could hire more staff members </t>
  </si>
  <si>
    <t>Time to Complete</t>
  </si>
  <si>
    <t>How was your 
visit at Sakura's?</t>
  </si>
  <si>
    <t>How would you rate the 
customer service at Sakura's?</t>
  </si>
  <si>
    <t>How would you rate 
the food at Sakura's?</t>
  </si>
  <si>
    <t>How long did you have to wait 
for you food to arrive?</t>
  </si>
  <si>
    <t>Column3</t>
  </si>
  <si>
    <t>Row Labels</t>
  </si>
  <si>
    <t>(blank)</t>
  </si>
  <si>
    <t>Grand Total</t>
  </si>
  <si>
    <t>Sum of Id</t>
  </si>
  <si>
    <t>How was your 
visit at Ssakura's</t>
  </si>
  <si>
    <t xml:space="preserve">How would you rate the 
customer service at Sakura's? </t>
  </si>
  <si>
    <t>4 Stars</t>
  </si>
  <si>
    <t>3 Stars</t>
  </si>
  <si>
    <t>5 Stars</t>
  </si>
  <si>
    <t>Stars:</t>
  </si>
  <si>
    <t>Sum of How would you rate 
the food at Sakura's?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</si>
</sst>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/yyyy\ 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0" xfId="0" applyNumberFormat="1"/>
    <xf numFmtId="166" fontId="0" fillId="0" borderId="0" xfId="0" applyNumberFormat="1"/>
    <xf numFmtId="45" fontId="0" fillId="0" borderId="0" xfId="0" applyNumberFormat="1"/>
    <xf numFmtId="49" fontId="0" fillId="0" borderId="0" xfId="0" applyNumberFormat="1"/>
    <xf numFmtId="166" fontId="0" fillId="2" borderId="2" xfId="0" applyNumberFormat="1" applyFont="1" applyFill="1" applyBorder="1"/>
    <xf numFmtId="45" fontId="0" fillId="2" borderId="2" xfId="0" applyNumberFormat="1" applyFont="1" applyFill="1" applyBorder="1"/>
    <xf numFmtId="166" fontId="0" fillId="0" borderId="2" xfId="0" applyNumberFormat="1" applyFont="1" applyBorder="1"/>
    <xf numFmtId="45" fontId="0" fillId="0" borderId="2" xfId="0" applyNumberFormat="1" applyFont="1" applyBorder="1"/>
    <xf numFmtId="0" fontId="0" fillId="0" borderId="0" xfId="0" applyAlignment="1">
      <alignment wrapText="1"/>
    </xf>
    <xf numFmtId="0" fontId="0" fillId="0" borderId="4" xfId="0" applyFont="1" applyBorder="1"/>
    <xf numFmtId="166" fontId="0" fillId="0" borderId="5" xfId="0" applyNumberFormat="1" applyFont="1" applyBorder="1"/>
    <xf numFmtId="45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6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8" formatCode="mm:ss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mm/d/yyyy\ h:mm:ss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mm/d/yyyy\ h:mm:ss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28" formatCode="mm:ss"/>
    </dxf>
    <dxf>
      <numFmt numFmtId="166" formatCode="mm/d/yyyy\ h:mm:ss"/>
    </dxf>
    <dxf>
      <numFmt numFmtId="166" formatCode="mm/d/yyyy\ h:mm:ss"/>
    </dxf>
    <dxf>
      <numFmt numFmtId="0" formatCode="General"/>
    </dxf>
    <dxf>
      <numFmt numFmtId="28" formatCode="mm:ss"/>
    </dxf>
    <dxf>
      <numFmt numFmtId="166" formatCode="mm/d/yyyy\ h:mm:ss"/>
    </dxf>
    <dxf>
      <numFmt numFmtId="166" formatCode="mm/d/yyyy\ h:mm:ss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[Sakura's_Customer_Feedback.xlsx]Wait Time Rating!PivotTable15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Wait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'Wait Time Rating'!$B$1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'Wait Time Rating'!$A$2:$A$4</c:f>
              <c:strCache>
                <c:ptCount val="2"/>
                <c:pt idx="0">
                  <c:v>10-15 minutes</c:v>
                </c:pt>
                <c:pt idx="1">
                  <c:v>5-10 minutes</c:v>
                </c:pt>
              </c:strCache>
            </c:strRef>
          </c:cat>
          <c:val>
            <c:numRef>
              <c:f>'Wait Time Rating'!$B$2:$B$4</c:f>
              <c:numCache>
                <c:formatCode>General</c:formatCode>
                <c:ptCount val="2"/>
                <c:pt idx="0">
                  <c:v>35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6-478D-B4CC-B1B3C9548ED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[Sakura's_Customer_Feedback.xlsx]Customer Service Rating!PivotTable7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Service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Service Rating'!$B$1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Service Rating'!$A$2:$A$8</c:f>
              <c:strCache>
                <c:ptCount val="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Column3</c:v>
                </c:pt>
                <c:pt idx="5">
                  <c:v>(blank)</c:v>
                </c:pt>
              </c:strCache>
            </c:strRef>
          </c:cat>
          <c:val>
            <c:numRef>
              <c:f>'Customer Service Rating'!$B$2:$B$8</c:f>
              <c:numCache>
                <c:formatCode>General</c:formatCode>
                <c:ptCount val="6"/>
                <c:pt idx="1">
                  <c:v>9</c:v>
                </c:pt>
                <c:pt idx="2">
                  <c:v>21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6F-406A-BBDA-299C88606E2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[Sakura's_Customer_Feedback.xlsx]Food Rating!PivotTable14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 Rating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'Food Rating'!$B$1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'Food Rating'!$A$2:$A$5</c:f>
              <c:strCache>
                <c:ptCount val="3"/>
                <c:pt idx="0">
                  <c:v>3 Stars</c:v>
                </c:pt>
                <c:pt idx="1">
                  <c:v>4 Stars</c:v>
                </c:pt>
                <c:pt idx="2">
                  <c:v>5 Stars</c:v>
                </c:pt>
              </c:strCache>
            </c:strRef>
          </c:cat>
          <c:val>
            <c:numRef>
              <c:f>'Food Rating'!$B$2:$B$5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6D-4503-A2F2-42FE03BEB35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3D1525-EE4B-D43F-24CA-AF068F49C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897332-8A35-5D7B-D5DB-746B449D2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121920</xdr:rowOff>
    </xdr:from>
    <xdr:to>
      <xdr:col>1</xdr:col>
      <xdr:colOff>3710940</xdr:colOff>
      <xdr:row>22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204465-15E4-66D9-FA91-2F9887999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ae mendez" refreshedDate="46313.720025115741" createdVersion="8" refreshedVersion="8" minRefreshableVersion="3" recordCount="15" xr:uid="{8671F8DD-F7EC-4AC2-AFA9-97AB4A333B4A}">
  <cacheSource type="worksheet">
    <worksheetSource ref="A1:K16" sheet="Added Table"/>
  </cacheSource>
  <cacheFields count="11">
    <cacheField name="Id" numFmtId="0">
      <sharedItems containsString="0" containsBlank="1" containsNumber="1" containsInteger="1" minValue="2" maxValue="10"/>
    </cacheField>
    <cacheField name="Start time" numFmtId="0">
      <sharedItems containsNonDate="0" containsDate="1" containsString="0" containsBlank="1" minDate="2026-10-16T18:18:00" maxDate="2026-10-18T12:51:35"/>
    </cacheField>
    <cacheField name="Completion time" numFmtId="0">
      <sharedItems containsNonDate="0" containsDate="1" containsString="0" containsBlank="1" minDate="2026-10-16T18:18:04" maxDate="2026-10-18T12:52:06"/>
    </cacheField>
    <cacheField name="Time to Complete" numFmtId="0">
      <sharedItems containsNonDate="0" containsDate="1" containsString="0" containsBlank="1" minDate="1899-12-30T00:00:04" maxDate="1899-12-30T00:02:18"/>
    </cacheField>
    <cacheField name="Email" numFmtId="0">
      <sharedItems containsBlank="1"/>
    </cacheField>
    <cacheField name="Name" numFmtId="0">
      <sharedItems containsBlank="1"/>
    </cacheField>
    <cacheField name="How was your _x000a_visit at Sakura's?" numFmtId="0">
      <sharedItems containsBlank="1" containsMixedTypes="1" containsNumber="1" containsInteger="1" minValue="1" maxValue="6"/>
    </cacheField>
    <cacheField name="How would you rate the _x000a_customer service at Sakura's?" numFmtId="0">
      <sharedItems containsBlank="1" containsMixedTypes="1" containsNumber="1" containsInteger="1" minValue="1" maxValue="5" count="6">
        <m/>
        <n v="5"/>
        <n v="4"/>
        <n v="3"/>
        <s v="Column3"/>
        <n v="1"/>
      </sharedItems>
    </cacheField>
    <cacheField name="How would you rate _x000a_the food at Sakura's?" numFmtId="0">
      <sharedItems containsBlank="1" containsMixedTypes="1" containsNumber="1" containsInteger="1" minValue="1" maxValue="7" count="7">
        <m/>
        <n v="5"/>
        <n v="3"/>
        <n v="4"/>
        <s v="Column4"/>
        <n v="7"/>
        <n v="1"/>
      </sharedItems>
    </cacheField>
    <cacheField name="How long did you have to wait _x000a_for you food to arrive?" numFmtId="0">
      <sharedItems containsBlank="1" containsMixedTypes="1" containsNumber="1" containsInteger="1" minValue="3" maxValue="7" count="6">
        <s v="10-15 minutes"/>
        <s v="5-10 minutes"/>
        <m/>
        <s v="Column5"/>
        <n v="3"/>
        <n v="7"/>
      </sharedItems>
    </cacheField>
    <cacheField name="In your opinion, how could Sakura improve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ae mendez" refreshedDate="46313.733638078702" createdVersion="8" refreshedVersion="8" minRefreshableVersion="3" recordCount="3" xr:uid="{E28423D8-BB0F-4C2B-AE96-33080A5CEA79}">
  <cacheSource type="worksheet">
    <worksheetSource name="Table2"/>
  </cacheSource>
  <cacheFields count="5">
    <cacheField name="Stars:" numFmtId="0">
      <sharedItems count="3">
        <s v="5 Stars"/>
        <s v="4 Stars"/>
        <s v="3 Stars"/>
      </sharedItems>
    </cacheField>
    <cacheField name="How was your _x000a_visit at Ssakura's" numFmtId="0">
      <sharedItems containsSemiMixedTypes="0" containsString="0" containsNumber="1" containsInteger="1" minValue="1" maxValue="6" count="3">
        <n v="6"/>
        <n v="2"/>
        <n v="1"/>
      </sharedItems>
    </cacheField>
    <cacheField name="How would you rate the _x000a_customer service at Sakura's? " numFmtId="0">
      <sharedItems containsSemiMixedTypes="0" containsString="0" containsNumber="1" containsInteger="1" minValue="1" maxValue="5" count="3">
        <n v="5"/>
        <n v="3"/>
        <n v="1"/>
      </sharedItems>
    </cacheField>
    <cacheField name="How would you rate _x000a_the food at Sakura's?" numFmtId="0">
      <sharedItems containsSemiMixedTypes="0" containsString="0" containsNumber="1" containsInteger="1" minValue="1" maxValue="7" count="2">
        <n v="7"/>
        <n v="1"/>
      </sharedItems>
    </cacheField>
    <cacheField name="How long did you have to wait _x000a_for you food to arrive?" numFmtId="0">
      <sharedItems containsString="0" containsBlank="1" containsNumber="1" containsInteger="1" minValue="3" maxValue="7" count="3">
        <n v="3"/>
        <n v="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ae mendez" refreshedDate="46313.741711226852" createdVersion="8" refreshedVersion="8" minRefreshableVersion="3" recordCount="10" xr:uid="{1A84DB30-E690-4894-A250-F943753D575E}">
  <cacheSource type="worksheet">
    <worksheetSource name="OfficeForms.Table"/>
  </cacheSource>
  <cacheFields count="11">
    <cacheField name="Id" numFmtId="0">
      <sharedItems containsSemiMixedTypes="0" containsString="0" containsNumber="1" containsInteger="1" minValue="1" maxValue="10"/>
    </cacheField>
    <cacheField name="Start time" numFmtId="166">
      <sharedItems containsSemiMixedTypes="0" containsNonDate="0" containsDate="1" containsString="0" minDate="2026-10-16T18:18:00" maxDate="2026-10-18T12:51:35"/>
    </cacheField>
    <cacheField name="Completion time" numFmtId="166">
      <sharedItems containsSemiMixedTypes="0" containsNonDate="0" containsDate="1" containsString="0" minDate="2026-10-16T18:18:04" maxDate="2026-10-18T12:52:06"/>
    </cacheField>
    <cacheField name="Time to Complete" numFmtId="45">
      <sharedItems containsSemiMixedTypes="0" containsNonDate="0" containsDate="1" containsString="0" minDate="1899-12-30T00:00:04" maxDate="1899-12-30T00:02:18"/>
    </cacheField>
    <cacheField name="Email" numFmtId="0">
      <sharedItems/>
    </cacheField>
    <cacheField name="Name" numFmtId="0">
      <sharedItems containsNonDate="0" containsString="0" containsBlank="1"/>
    </cacheField>
    <cacheField name="How was your visit at Sakura's?" numFmtId="0">
      <sharedItems containsString="0" containsBlank="1" containsNumber="1" containsInteger="1" minValue="3" maxValue="5"/>
    </cacheField>
    <cacheField name="How would you rate the customer service at Sakura's?" numFmtId="0">
      <sharedItems containsString="0" containsBlank="1" containsNumber="1" containsInteger="1" minValue="3" maxValue="5"/>
    </cacheField>
    <cacheField name="How would you rate the food at Sakura's?" numFmtId="0">
      <sharedItems containsString="0" containsBlank="1" containsNumber="1" containsInteger="1" minValue="3" maxValue="5"/>
    </cacheField>
    <cacheField name="How long did you have to wait for you food to arrive?" numFmtId="0">
      <sharedItems count="2">
        <s v="10-15 minutes"/>
        <s v="5-10 minutes"/>
      </sharedItems>
    </cacheField>
    <cacheField name="In your opinion, how could Sakura improve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m/>
    <d v="2026-10-16T18:18:00"/>
    <d v="2026-10-16T18:18:04"/>
    <d v="1899-12-30T00:00:04"/>
    <s v="anonymous"/>
    <m/>
    <m/>
    <x v="0"/>
    <x v="0"/>
    <x v="0"/>
    <m/>
  </r>
  <r>
    <n v="2"/>
    <d v="2026-10-16T18:20:14"/>
    <d v="2026-10-16T18:21:15"/>
    <d v="1899-12-30T00:01:01"/>
    <s v="anonymous"/>
    <m/>
    <n v="5"/>
    <x v="1"/>
    <x v="1"/>
    <x v="0"/>
    <s v="Open more locations!"/>
  </r>
  <r>
    <n v="3"/>
    <d v="2026-10-16T18:47:35"/>
    <d v="2026-10-16T18:49:53"/>
    <d v="1899-12-30T00:02:18"/>
    <s v="anonymous"/>
    <m/>
    <n v="5"/>
    <x v="1"/>
    <x v="1"/>
    <x v="0"/>
    <s v="If the wait time were a little shorter then this would be the perfect experience. The food was still very good tho when it came it so it was worth the wait"/>
  </r>
  <r>
    <n v="4"/>
    <d v="2026-10-16T18:50:31"/>
    <d v="2026-10-16T18:51:39"/>
    <d v="1899-12-30T00:01:08"/>
    <s v="anonymous"/>
    <m/>
    <n v="5"/>
    <x v="1"/>
    <x v="1"/>
    <x v="0"/>
    <s v="Wait time was a little long but the food was so good it was well worth the wait "/>
  </r>
  <r>
    <n v="5"/>
    <d v="2026-10-16T19:45:57"/>
    <d v="2026-10-16T19:46:52"/>
    <d v="1899-12-30T00:00:55"/>
    <s v="anonymous"/>
    <m/>
    <n v="5"/>
    <x v="1"/>
    <x v="1"/>
    <x v="1"/>
    <s v="Her food is magical 😍, it's like getting a hug 🤗"/>
  </r>
  <r>
    <n v="6"/>
    <d v="2026-10-16T20:29:17"/>
    <d v="2026-10-16T20:29:44"/>
    <d v="1899-12-30T00:00:27"/>
    <s v="anonymous"/>
    <m/>
    <n v="4"/>
    <x v="2"/>
    <x v="1"/>
    <x v="0"/>
    <s v="They could improve the cleanliness of their lobby"/>
  </r>
  <r>
    <n v="7"/>
    <d v="2026-10-16T22:55:11"/>
    <d v="2026-10-16T22:57:21"/>
    <d v="1899-12-30T00:02:10"/>
    <s v="anonymous"/>
    <m/>
    <n v="3"/>
    <x v="2"/>
    <x v="2"/>
    <x v="1"/>
    <s v="You could improve Sakuras by expanding your dessert options "/>
  </r>
  <r>
    <n v="8"/>
    <d v="2026-10-18T11:51:53"/>
    <d v="2026-10-18T11:52:59"/>
    <d v="1899-12-30T00:01:06"/>
    <s v="anonymous"/>
    <m/>
    <n v="5"/>
    <x v="2"/>
    <x v="1"/>
    <x v="1"/>
    <s v="I would like more sauce choices "/>
  </r>
  <r>
    <n v="9"/>
    <d v="2026-10-18T11:59:08"/>
    <d v="2026-10-18T11:59:46"/>
    <d v="1899-12-30T00:00:38"/>
    <s v="anonymous"/>
    <m/>
    <n v="4"/>
    <x v="3"/>
    <x v="3"/>
    <x v="0"/>
    <s v="They could hire more staff members "/>
  </r>
  <r>
    <n v="10"/>
    <d v="2026-10-18T12:51:35"/>
    <d v="2026-10-18T12:52:06"/>
    <d v="1899-12-30T00:00:31"/>
    <s v="anonymous"/>
    <m/>
    <n v="5"/>
    <x v="1"/>
    <x v="1"/>
    <x v="0"/>
    <m/>
  </r>
  <r>
    <m/>
    <m/>
    <m/>
    <m/>
    <m/>
    <m/>
    <m/>
    <x v="0"/>
    <x v="0"/>
    <x v="2"/>
    <m/>
  </r>
  <r>
    <m/>
    <m/>
    <m/>
    <m/>
    <m/>
    <s v="Column1"/>
    <s v="Column2"/>
    <x v="4"/>
    <x v="4"/>
    <x v="3"/>
    <m/>
  </r>
  <r>
    <m/>
    <m/>
    <m/>
    <m/>
    <m/>
    <s v="How many people sellected 5"/>
    <n v="6"/>
    <x v="1"/>
    <x v="5"/>
    <x v="4"/>
    <m/>
  </r>
  <r>
    <m/>
    <m/>
    <m/>
    <m/>
    <m/>
    <s v="How many people sellected 4"/>
    <n v="2"/>
    <x v="3"/>
    <x v="6"/>
    <x v="5"/>
    <m/>
  </r>
  <r>
    <m/>
    <m/>
    <m/>
    <m/>
    <m/>
    <s v="How many people selected 3"/>
    <n v="1"/>
    <x v="5"/>
    <x v="6"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x v="0"/>
    <x v="0"/>
    <x v="0"/>
  </r>
  <r>
    <x v="1"/>
    <x v="1"/>
    <x v="1"/>
    <x v="1"/>
    <x v="1"/>
  </r>
  <r>
    <x v="2"/>
    <x v="2"/>
    <x v="2"/>
    <x v="1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d v="2026-10-16T18:18:00"/>
    <d v="2026-10-16T18:18:04"/>
    <d v="1899-12-30T00:00:04"/>
    <s v="anonymous"/>
    <m/>
    <m/>
    <m/>
    <m/>
    <x v="0"/>
    <m/>
  </r>
  <r>
    <n v="2"/>
    <d v="2026-10-16T18:20:14"/>
    <d v="2026-10-16T18:21:15"/>
    <d v="1899-12-30T00:01:01"/>
    <s v="anonymous"/>
    <m/>
    <n v="5"/>
    <n v="5"/>
    <n v="5"/>
    <x v="0"/>
    <s v="Open more locations!"/>
  </r>
  <r>
    <n v="3"/>
    <d v="2026-10-16T18:47:35"/>
    <d v="2026-10-16T18:49:53"/>
    <d v="1899-12-30T00:02:18"/>
    <s v="anonymous"/>
    <m/>
    <n v="5"/>
    <n v="5"/>
    <n v="5"/>
    <x v="0"/>
    <s v="If the wait time were a little shorter then this would be the perfect experience. The food was still very good tho when it came it so it was worth the wait"/>
  </r>
  <r>
    <n v="4"/>
    <d v="2026-10-16T18:50:31"/>
    <d v="2026-10-16T18:51:39"/>
    <d v="1899-12-30T00:01:08"/>
    <s v="anonymous"/>
    <m/>
    <n v="5"/>
    <n v="5"/>
    <n v="5"/>
    <x v="0"/>
    <s v="Wait time was a little long but the food was so good it was well worth the wait "/>
  </r>
  <r>
    <n v="5"/>
    <d v="2026-10-16T19:45:57"/>
    <d v="2026-10-16T19:46:52"/>
    <d v="1899-12-30T00:00:55"/>
    <s v="anonymous"/>
    <m/>
    <n v="5"/>
    <n v="5"/>
    <n v="5"/>
    <x v="1"/>
    <s v="Her food is magical 😍, it's like getting a hug 🤗"/>
  </r>
  <r>
    <n v="6"/>
    <d v="2026-10-16T20:29:17"/>
    <d v="2026-10-16T20:29:44"/>
    <d v="1899-12-30T00:00:27"/>
    <s v="anonymous"/>
    <m/>
    <n v="4"/>
    <n v="4"/>
    <n v="5"/>
    <x v="0"/>
    <s v="They could improve the cleanliness of their lobby"/>
  </r>
  <r>
    <n v="7"/>
    <d v="2026-10-16T22:55:11"/>
    <d v="2026-10-16T22:57:21"/>
    <d v="1899-12-30T00:02:10"/>
    <s v="anonymous"/>
    <m/>
    <n v="3"/>
    <n v="4"/>
    <n v="3"/>
    <x v="1"/>
    <s v="You could improve Sakuras by expanding your dessert options "/>
  </r>
  <r>
    <n v="8"/>
    <d v="2026-10-18T11:51:53"/>
    <d v="2026-10-18T11:52:59"/>
    <d v="1899-12-30T00:01:06"/>
    <s v="anonymous"/>
    <m/>
    <n v="5"/>
    <n v="4"/>
    <n v="5"/>
    <x v="1"/>
    <s v="I would like more sauce choices "/>
  </r>
  <r>
    <n v="9"/>
    <d v="2026-10-18T11:59:08"/>
    <d v="2026-10-18T11:59:46"/>
    <d v="1899-12-30T00:00:38"/>
    <s v="anonymous"/>
    <m/>
    <n v="4"/>
    <n v="3"/>
    <n v="4"/>
    <x v="0"/>
    <s v="They could hire more staff members "/>
  </r>
  <r>
    <n v="10"/>
    <d v="2026-10-18T12:51:35"/>
    <d v="2026-10-18T12:52:06"/>
    <d v="1899-12-30T00:00:31"/>
    <s v="anonymous"/>
    <m/>
    <n v="5"/>
    <n v="5"/>
    <n v="5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B5DAF-42D9-4EB1-AA39-BFCF3AA0E2EB}" name="PivotTable15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4" firstHeaderRow="1" firstDataRow="1" firstDataCol="1"/>
  <pivotFields count="11">
    <pivotField dataField="1" showAll="0"/>
    <pivotField numFmtId="166" showAll="0"/>
    <pivotField numFmtId="166" showAll="0"/>
    <pivotField numFmtId="45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746B8-CAE1-4255-BDEA-54C2D0893E3E}" name="PivotTable7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8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3"/>
        <item x="2"/>
        <item x="1"/>
        <item x="4"/>
        <item x="0"/>
        <item t="default"/>
      </items>
    </pivotField>
    <pivotField showAll="0">
      <items count="8">
        <item x="6"/>
        <item x="2"/>
        <item x="3"/>
        <item x="1"/>
        <item x="5"/>
        <item x="4"/>
        <item x="0"/>
        <item t="default"/>
      </items>
    </pivotField>
    <pivotField showAll="0">
      <items count="7">
        <item x="4"/>
        <item x="5"/>
        <item x="0"/>
        <item x="1"/>
        <item x="3"/>
        <item x="2"/>
        <item t="default"/>
      </items>
    </pivotField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Id" fld="0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8E142-345C-46AF-8C3B-578D12EA5B98}" name="PivotTable14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5" firstHeaderRow="1" firstDataRow="1" firstDataCol="1"/>
  <pivotFields count="5">
    <pivotField axis="axisRow" showAll="0">
      <items count="4">
        <item x="2"/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How would you rate _x000a_the food at Sakura's?" fld="3" baseField="0" baseItem="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12" totalsRowCount="1">
  <autoFilter ref="A1:K11" xr:uid="{00000000-0009-0000-0100-000001000000}"/>
  <tableColumns count="11">
    <tableColumn id="1" xr3:uid="{00000000-0010-0000-0000-000001000000}" name="Id" dataDxfId="28" totalsRowDxfId="2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7" totalsRowDxfId="23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6" totalsRowDxfId="22">
      <extLst>
        <ext xmlns:xlmsforms="http://schemas.microsoft.com/office/spreadsheetml/2023/msForms" uri="{FCC71383-01E1-4257-9335-427F07BE8D7F}">
          <xlmsforms:question id="submitDate"/>
        </ext>
      </extLst>
    </tableColumn>
    <tableColumn id="12" xr3:uid="{B579BFB6-FB58-451B-88F0-03DC94062F42}" name="Time to Complete" totalsRowFunction="custom" dataDxfId="25" totalsRowDxfId="21">
      <calculatedColumnFormula>C2-B2</calculatedColumnFormula>
      <totalsRowFormula>AVERAGE(D2:D11)</totalsRowFormula>
    </tableColumn>
    <tableColumn id="4" xr3:uid="{00000000-0010-0000-0000-000004000000}" name="Email" dataDxfId="35" totalsRowDxfId="20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34" totalsRowDxfId="19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was your visit at Sakura's?" totalsRowFunction="custom" dataDxfId="33" totalsRowDxfId="18">
      <totalsRowFormula>COUNTIF(G2:G11,5)</totalsRowFormula>
      <extLst>
        <ext xmlns:xlmsforms="http://schemas.microsoft.com/office/spreadsheetml/2023/msForms" uri="{FCC71383-01E1-4257-9335-427F07BE8D7F}">
          <xlmsforms:question id="rc1bff756b0ea41fbbb72bbd4208e8c4a"/>
        </ext>
      </extLst>
    </tableColumn>
    <tableColumn id="7" xr3:uid="{00000000-0010-0000-0000-000007000000}" name="How would you rate the customer service at Sakura's?" dataDxfId="32" totalsRowDxfId="17">
      <extLst>
        <ext xmlns:xlmsforms="http://schemas.microsoft.com/office/spreadsheetml/2023/msForms" uri="{FCC71383-01E1-4257-9335-427F07BE8D7F}">
          <xlmsforms:question id="r628343a1bef44e02b003fa225c5f0322"/>
        </ext>
      </extLst>
    </tableColumn>
    <tableColumn id="8" xr3:uid="{00000000-0010-0000-0000-000008000000}" name="How would you rate the food at Sakura's?" dataDxfId="31" totalsRowDxfId="16">
      <extLst>
        <ext xmlns:xlmsforms="http://schemas.microsoft.com/office/spreadsheetml/2023/msForms" uri="{FCC71383-01E1-4257-9335-427F07BE8D7F}">
          <xlmsforms:question id="rd2d9f39be2354c38b07dbc3ae708109b"/>
        </ext>
      </extLst>
    </tableColumn>
    <tableColumn id="9" xr3:uid="{00000000-0010-0000-0000-000009000000}" name="How long did you have to wait for you food to arrive?" dataDxfId="30" totalsRowDxfId="15">
      <extLst>
        <ext xmlns:xlmsforms="http://schemas.microsoft.com/office/spreadsheetml/2023/msForms" uri="{FCC71383-01E1-4257-9335-427F07BE8D7F}">
          <xlmsforms:question id="ree0f3db08553427dbcd6eabf2af0ead3"/>
        </ext>
      </extLst>
    </tableColumn>
    <tableColumn id="10" xr3:uid="{00000000-0010-0000-0000-00000A000000}" name="In your opinion, how could Sakura improve?" dataDxfId="29" totalsRowDxfId="14">
      <extLst>
        <ext xmlns:xlmsforms="http://schemas.microsoft.com/office/spreadsheetml/2023/msForms" uri="{FCC71383-01E1-4257-9335-427F07BE8D7F}">
          <xlmsforms:question id="r4d41bba6471b4fd6842b456a4b8bb341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9riMeqr6ZlAo1UQatSpCX5UOTJSV0dRWlRUMFRBVkNPQjI5TUNSTVJIVC4u" isFormConnected="1" maxResponseId="10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rc1bff756b0ea41fbbb72bbd4208e8c4a</xlmsforms:syncedQuestionId>
        <xlmsforms:syncedQuestionId>r628343a1bef44e02b003fa225c5f0322</xlmsforms:syncedQuestionId>
        <xlmsforms:syncedQuestionId>rd2d9f39be2354c38b07dbc3ae708109b</xlmsforms:syncedQuestionId>
        <xlmsforms:syncedQuestionId>ree0f3db08553427dbcd6eabf2af0ead3</xlmsforms:syncedQuestionId>
        <xlmsforms:syncedQuestionId>r4d41bba6471b4fd6842b456a4b8bb341</xlmsforms:syncedQuestionId>
      </xlmsforms:msForm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9EAB32-1D41-4F9D-A5DB-FF7C158780F3}" name="Table2" displayName="Table2" ref="F13:J16" totalsRowShown="0">
  <autoFilter ref="F13:J16" xr:uid="{229EAB32-1D41-4F9D-A5DB-FF7C158780F3}"/>
  <tableColumns count="5">
    <tableColumn id="1" xr3:uid="{C840F5B6-4726-49A6-9042-23C9279D176F}" name="Stars:"/>
    <tableColumn id="2" xr3:uid="{8234D32E-B3F0-45B6-BFB7-4A9A5CCFD0A8}" name="How was your _x000a_visit at Ssakura's"/>
    <tableColumn id="3" xr3:uid="{974D1D3C-DA3B-43E9-864B-A703DBE04FDD}" name="How would you rate the _x000a_customer service at Sakura's? "/>
    <tableColumn id="4" xr3:uid="{8FDD5D9B-A479-4516-B100-C2C133D7458E}" name="How would you rate _x000a_the food at Sakura's?"/>
    <tableColumn id="5" xr3:uid="{EB86B22E-7D9A-49AE-A23C-EE5A0709E8F0}" name="How long did you have to wait _x000a_for you food to arrive?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40D3B8-CC60-4DE2-B889-441083576F36}" name="Table3" displayName="Table3" ref="A1:K11" totalsRowShown="0" headerRowDxfId="0" dataDxfId="1" tableBorderDxfId="13">
  <autoFilter ref="A1:K11" xr:uid="{5540D3B8-CC60-4DE2-B889-441083576F36}"/>
  <tableColumns count="11">
    <tableColumn id="1" xr3:uid="{803F5C38-4493-4A6C-AE9F-DCDE7F46E966}" name="Id" dataDxfId="12"/>
    <tableColumn id="2" xr3:uid="{A022DEB3-94B9-4184-8301-C8D4D58F2B01}" name="Start time" dataDxfId="11"/>
    <tableColumn id="3" xr3:uid="{C2EBA37B-BD58-453C-8BF2-8571DA942EB2}" name="Completion time" dataDxfId="10"/>
    <tableColumn id="4" xr3:uid="{92ED09D4-8440-4093-A13C-FC7D1E889485}" name="Time to Complete" dataDxfId="9">
      <calculatedColumnFormula>C2-B2</calculatedColumnFormula>
    </tableColumn>
    <tableColumn id="5" xr3:uid="{27AA07C1-A1D8-4631-B2A2-19FE9B65F966}" name="Email" dataDxfId="8"/>
    <tableColumn id="6" xr3:uid="{0376203B-E7A5-4C03-8A5D-D56A43B1D774}" name="Name" dataDxfId="7"/>
    <tableColumn id="7" xr3:uid="{16E9E8FF-5872-4BE6-BB59-FC63A2503247}" name="How was your _x000a_visit at Sakura's?" dataDxfId="6"/>
    <tableColumn id="8" xr3:uid="{5AF78F03-2A9C-4458-9C35-FAA97951B619}" name="How would you rate the _x000a_customer service at Sakura's?" dataDxfId="5"/>
    <tableColumn id="9" xr3:uid="{8B004BEF-7219-4820-9F9A-CA9F3DE0800C}" name="How would you rate _x000a_the food at Sakura's?" dataDxfId="4"/>
    <tableColumn id="10" xr3:uid="{E8876F64-0B4F-4DFB-ABA7-192B9DFAA39C}" name="How long did you have to wait _x000a_for you food to arrive?" dataDxfId="3"/>
    <tableColumn id="11" xr3:uid="{1A896703-C265-4795-96AF-689545951756}" name="In your opinion, how could Sakura improve?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09BA-6C78-479F-8BCD-D527DCC819D9}">
  <dimension ref="A1:B4"/>
  <sheetViews>
    <sheetView workbookViewId="0">
      <selection activeCell="M8" sqref="M8"/>
    </sheetView>
  </sheetViews>
  <sheetFormatPr defaultRowHeight="14.4" x14ac:dyDescent="0.3"/>
  <cols>
    <col min="1" max="1" width="12.5546875" bestFit="1" customWidth="1"/>
    <col min="2" max="2" width="9.109375" bestFit="1" customWidth="1"/>
  </cols>
  <sheetData>
    <row r="1" spans="1:2" x14ac:dyDescent="0.3">
      <c r="A1" s="21" t="s">
        <v>27</v>
      </c>
      <c r="B1" t="s">
        <v>30</v>
      </c>
    </row>
    <row r="2" spans="1:2" x14ac:dyDescent="0.3">
      <c r="A2" s="22" t="s">
        <v>11</v>
      </c>
      <c r="B2" s="7">
        <v>35</v>
      </c>
    </row>
    <row r="3" spans="1:2" x14ac:dyDescent="0.3">
      <c r="A3" s="22" t="s">
        <v>15</v>
      </c>
      <c r="B3" s="7">
        <v>20</v>
      </c>
    </row>
    <row r="4" spans="1:2" x14ac:dyDescent="0.3">
      <c r="A4" s="22" t="s">
        <v>29</v>
      </c>
      <c r="B4" s="7">
        <v>55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I1" workbookViewId="0">
      <selection activeCell="K14" sqref="K14"/>
    </sheetView>
  </sheetViews>
  <sheetFormatPr defaultRowHeight="14.4" x14ac:dyDescent="0.3"/>
  <cols>
    <col min="1" max="1" width="20" bestFit="1" customWidth="1"/>
    <col min="2" max="2" width="20" style="8" bestFit="1" customWidth="1"/>
    <col min="3" max="3" width="20" bestFit="1" customWidth="1"/>
    <col min="4" max="4" width="20" style="9" customWidth="1"/>
    <col min="5" max="10" width="20" bestFit="1" customWidth="1"/>
    <col min="11" max="11" width="126.88671875" bestFit="1" customWidth="1"/>
  </cols>
  <sheetData>
    <row r="1" spans="1:11" x14ac:dyDescent="0.3">
      <c r="A1" t="s">
        <v>0</v>
      </c>
      <c r="B1" s="8" t="s">
        <v>1</v>
      </c>
      <c r="C1" s="8" t="s">
        <v>2</v>
      </c>
      <c r="D1" s="9" t="s">
        <v>21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s="8">
        <v>46311.762499999997</v>
      </c>
      <c r="C2" s="8">
        <v>46311.762546296297</v>
      </c>
      <c r="D2" s="9">
        <f t="shared" ref="D2:D11" si="0">C2-B2</f>
        <v>4.6296299842651933E-5</v>
      </c>
      <c r="E2" t="s">
        <v>10</v>
      </c>
      <c r="J2" t="s">
        <v>11</v>
      </c>
    </row>
    <row r="3" spans="1:11" x14ac:dyDescent="0.3">
      <c r="A3">
        <v>2</v>
      </c>
      <c r="B3" s="8">
        <v>46311.764050925929</v>
      </c>
      <c r="C3" s="8">
        <v>46311.764756944445</v>
      </c>
      <c r="D3" s="9">
        <f t="shared" si="0"/>
        <v>7.0601851621177047E-4</v>
      </c>
      <c r="E3" t="s">
        <v>10</v>
      </c>
      <c r="G3">
        <v>5</v>
      </c>
      <c r="H3">
        <v>5</v>
      </c>
      <c r="I3">
        <v>5</v>
      </c>
      <c r="J3" t="s">
        <v>11</v>
      </c>
      <c r="K3" t="s">
        <v>12</v>
      </c>
    </row>
    <row r="4" spans="1:11" x14ac:dyDescent="0.3">
      <c r="A4">
        <v>3</v>
      </c>
      <c r="B4" s="8">
        <v>46311.783043981479</v>
      </c>
      <c r="C4" s="8">
        <v>46311.784641203703</v>
      </c>
      <c r="D4" s="9">
        <f t="shared" si="0"/>
        <v>1.5972222245181911E-3</v>
      </c>
      <c r="E4" t="s">
        <v>10</v>
      </c>
      <c r="G4">
        <v>5</v>
      </c>
      <c r="H4">
        <v>5</v>
      </c>
      <c r="I4">
        <v>5</v>
      </c>
      <c r="J4" t="s">
        <v>11</v>
      </c>
      <c r="K4" t="s">
        <v>13</v>
      </c>
    </row>
    <row r="5" spans="1:11" x14ac:dyDescent="0.3">
      <c r="A5">
        <v>4</v>
      </c>
      <c r="B5" s="8">
        <v>46311.785081018519</v>
      </c>
      <c r="C5" s="8">
        <v>46311.785868055558</v>
      </c>
      <c r="D5" s="9">
        <f t="shared" si="0"/>
        <v>7.8703703911742195E-4</v>
      </c>
      <c r="E5" t="s">
        <v>10</v>
      </c>
      <c r="G5">
        <v>5</v>
      </c>
      <c r="H5">
        <v>5</v>
      </c>
      <c r="I5">
        <v>5</v>
      </c>
      <c r="J5" t="s">
        <v>11</v>
      </c>
      <c r="K5" t="s">
        <v>14</v>
      </c>
    </row>
    <row r="6" spans="1:11" x14ac:dyDescent="0.3">
      <c r="A6">
        <v>5</v>
      </c>
      <c r="B6" s="8">
        <v>46311.823576388888</v>
      </c>
      <c r="C6" s="8">
        <v>46311.824212962965</v>
      </c>
      <c r="D6" s="9">
        <f t="shared" si="0"/>
        <v>6.36574077361729E-4</v>
      </c>
      <c r="E6" t="s">
        <v>10</v>
      </c>
      <c r="G6">
        <v>5</v>
      </c>
      <c r="H6">
        <v>5</v>
      </c>
      <c r="I6">
        <v>5</v>
      </c>
      <c r="J6" t="s">
        <v>15</v>
      </c>
      <c r="K6" t="s">
        <v>16</v>
      </c>
    </row>
    <row r="7" spans="1:11" x14ac:dyDescent="0.3">
      <c r="A7">
        <v>6</v>
      </c>
      <c r="B7" s="8">
        <v>46311.853668981479</v>
      </c>
      <c r="C7" s="8">
        <v>46311.853981481479</v>
      </c>
      <c r="D7" s="9">
        <f t="shared" si="0"/>
        <v>3.125000002910383E-4</v>
      </c>
      <c r="E7" t="s">
        <v>10</v>
      </c>
      <c r="G7">
        <v>4</v>
      </c>
      <c r="H7">
        <v>4</v>
      </c>
      <c r="I7">
        <v>5</v>
      </c>
      <c r="J7" t="s">
        <v>11</v>
      </c>
      <c r="K7" t="s">
        <v>17</v>
      </c>
    </row>
    <row r="8" spans="1:11" x14ac:dyDescent="0.3">
      <c r="A8">
        <v>7</v>
      </c>
      <c r="B8" s="8">
        <v>46311.954988425925</v>
      </c>
      <c r="C8" s="8">
        <v>46311.956493055557</v>
      </c>
      <c r="D8" s="9">
        <f t="shared" si="0"/>
        <v>1.5046296321088448E-3</v>
      </c>
      <c r="E8" t="s">
        <v>10</v>
      </c>
      <c r="G8">
        <v>3</v>
      </c>
      <c r="H8">
        <v>4</v>
      </c>
      <c r="I8">
        <v>3</v>
      </c>
      <c r="J8" t="s">
        <v>15</v>
      </c>
      <c r="K8" t="s">
        <v>18</v>
      </c>
    </row>
    <row r="9" spans="1:11" x14ac:dyDescent="0.3">
      <c r="A9">
        <v>8</v>
      </c>
      <c r="B9" s="8">
        <v>46313.494363425925</v>
      </c>
      <c r="C9" s="8">
        <v>46313.495127314818</v>
      </c>
      <c r="D9" s="9">
        <f t="shared" si="0"/>
        <v>7.638888928340748E-4</v>
      </c>
      <c r="E9" t="s">
        <v>10</v>
      </c>
      <c r="G9">
        <v>5</v>
      </c>
      <c r="H9">
        <v>4</v>
      </c>
      <c r="I9">
        <v>5</v>
      </c>
      <c r="J9" t="s">
        <v>15</v>
      </c>
      <c r="K9" t="s">
        <v>19</v>
      </c>
    </row>
    <row r="10" spans="1:11" x14ac:dyDescent="0.3">
      <c r="A10">
        <v>9</v>
      </c>
      <c r="B10" s="8">
        <v>46313.499398148146</v>
      </c>
      <c r="C10" s="8">
        <v>46313.499837962961</v>
      </c>
      <c r="D10" s="9">
        <f t="shared" si="0"/>
        <v>4.398148157633841E-4</v>
      </c>
      <c r="E10" t="s">
        <v>10</v>
      </c>
      <c r="G10">
        <v>4</v>
      </c>
      <c r="H10">
        <v>3</v>
      </c>
      <c r="I10">
        <v>4</v>
      </c>
      <c r="J10" t="s">
        <v>11</v>
      </c>
      <c r="K10" t="s">
        <v>20</v>
      </c>
    </row>
    <row r="11" spans="1:11" x14ac:dyDescent="0.3">
      <c r="A11">
        <v>10</v>
      </c>
      <c r="B11" s="8">
        <v>46313.535821759258</v>
      </c>
      <c r="C11" s="8">
        <v>46313.536180555559</v>
      </c>
      <c r="D11" s="9">
        <f t="shared" si="0"/>
        <v>3.5879630013369024E-4</v>
      </c>
      <c r="E11" t="s">
        <v>10</v>
      </c>
      <c r="G11">
        <v>5</v>
      </c>
      <c r="H11">
        <v>5</v>
      </c>
      <c r="I11">
        <v>5</v>
      </c>
      <c r="J11" t="s">
        <v>11</v>
      </c>
    </row>
    <row r="12" spans="1:11" x14ac:dyDescent="0.3">
      <c r="A12" s="7"/>
      <c r="C12" s="8"/>
      <c r="D12" s="9">
        <f>AVERAGE(D2:D11)</f>
        <v>7.1527777981827967E-4</v>
      </c>
      <c r="E12" s="10"/>
      <c r="F12" s="10"/>
      <c r="G12" s="7">
        <f>COUNTIF(G2:G11,5)</f>
        <v>6</v>
      </c>
      <c r="H12" s="7"/>
      <c r="I12" s="7"/>
      <c r="J12" s="10"/>
      <c r="K12" s="10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F8EA-F32F-4ACE-8E5F-DEC55A0A7142}">
  <dimension ref="A1:B8"/>
  <sheetViews>
    <sheetView topLeftCell="D5" zoomScale="192" workbookViewId="0">
      <selection activeCell="D21" sqref="D21"/>
    </sheetView>
  </sheetViews>
  <sheetFormatPr defaultRowHeight="14.4" x14ac:dyDescent="0.3"/>
  <cols>
    <col min="1" max="1" width="12.5546875" bestFit="1" customWidth="1"/>
    <col min="2" max="2" width="9.109375" bestFit="1" customWidth="1"/>
  </cols>
  <sheetData>
    <row r="1" spans="1:2" x14ac:dyDescent="0.3">
      <c r="A1" s="21" t="s">
        <v>27</v>
      </c>
      <c r="B1" t="s">
        <v>30</v>
      </c>
    </row>
    <row r="2" spans="1:2" x14ac:dyDescent="0.3">
      <c r="A2" s="22">
        <v>1</v>
      </c>
      <c r="B2" s="7"/>
    </row>
    <row r="3" spans="1:2" x14ac:dyDescent="0.3">
      <c r="A3" s="22">
        <v>3</v>
      </c>
      <c r="B3" s="7">
        <v>9</v>
      </c>
    </row>
    <row r="4" spans="1:2" x14ac:dyDescent="0.3">
      <c r="A4" s="22">
        <v>4</v>
      </c>
      <c r="B4" s="7">
        <v>21</v>
      </c>
    </row>
    <row r="5" spans="1:2" x14ac:dyDescent="0.3">
      <c r="A5" s="22">
        <v>5</v>
      </c>
      <c r="B5" s="7">
        <v>24</v>
      </c>
    </row>
    <row r="6" spans="1:2" x14ac:dyDescent="0.3">
      <c r="A6" s="22" t="s">
        <v>26</v>
      </c>
      <c r="B6" s="7"/>
    </row>
    <row r="7" spans="1:2" x14ac:dyDescent="0.3">
      <c r="A7" s="22" t="s">
        <v>28</v>
      </c>
      <c r="B7" s="7"/>
    </row>
    <row r="8" spans="1:2" x14ac:dyDescent="0.3">
      <c r="A8" s="22" t="s">
        <v>29</v>
      </c>
      <c r="B8" s="7">
        <v>54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06A8-9D95-452F-8AAC-4CB088126DBD}">
  <dimension ref="A1:B5"/>
  <sheetViews>
    <sheetView topLeftCell="A2" zoomScale="83" workbookViewId="0">
      <selection activeCell="B3" sqref="B3"/>
    </sheetView>
  </sheetViews>
  <sheetFormatPr defaultRowHeight="14.4" x14ac:dyDescent="0.3"/>
  <cols>
    <col min="1" max="1" width="12.5546875" bestFit="1" customWidth="1"/>
    <col min="2" max="3" width="44.33203125" bestFit="1" customWidth="1"/>
  </cols>
  <sheetData>
    <row r="1" spans="1:2" x14ac:dyDescent="0.3">
      <c r="A1" s="21" t="s">
        <v>27</v>
      </c>
      <c r="B1" t="s">
        <v>37</v>
      </c>
    </row>
    <row r="2" spans="1:2" x14ac:dyDescent="0.3">
      <c r="A2" s="22" t="s">
        <v>34</v>
      </c>
      <c r="B2" s="7">
        <v>1</v>
      </c>
    </row>
    <row r="3" spans="1:2" x14ac:dyDescent="0.3">
      <c r="A3" s="22" t="s">
        <v>33</v>
      </c>
      <c r="B3" s="7">
        <v>1</v>
      </c>
    </row>
    <row r="4" spans="1:2" x14ac:dyDescent="0.3">
      <c r="A4" s="22" t="s">
        <v>35</v>
      </c>
      <c r="B4" s="7">
        <v>7</v>
      </c>
    </row>
    <row r="5" spans="1:2" x14ac:dyDescent="0.3">
      <c r="A5" s="22" t="s">
        <v>29</v>
      </c>
      <c r="B5" s="7">
        <v>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C9AE-D7F4-4F42-8123-8CAD4859177E}">
  <dimension ref="A1:K16"/>
  <sheetViews>
    <sheetView topLeftCell="D1" workbookViewId="0">
      <selection activeCell="F13" sqref="F13:J16"/>
    </sheetView>
  </sheetViews>
  <sheetFormatPr defaultRowHeight="14.4" x14ac:dyDescent="0.3"/>
  <cols>
    <col min="2" max="3" width="18.33203125" bestFit="1" customWidth="1"/>
    <col min="4" max="4" width="17.44140625" customWidth="1"/>
    <col min="6" max="6" width="25.109375" bestFit="1" customWidth="1"/>
    <col min="7" max="7" width="16" customWidth="1"/>
    <col min="8" max="8" width="25.21875" bestFit="1" customWidth="1"/>
    <col min="9" max="9" width="18.33203125" bestFit="1" customWidth="1"/>
    <col min="10" max="10" width="28.44140625" customWidth="1"/>
    <col min="11" max="11" width="126.88671875" bestFit="1" customWidth="1"/>
  </cols>
  <sheetData>
    <row r="1" spans="1:11" ht="43.2" x14ac:dyDescent="0.3">
      <c r="A1" t="s">
        <v>0</v>
      </c>
      <c r="B1" s="8" t="s">
        <v>1</v>
      </c>
      <c r="C1" s="8" t="s">
        <v>2</v>
      </c>
      <c r="D1" s="9" t="s">
        <v>21</v>
      </c>
      <c r="E1" t="s">
        <v>3</v>
      </c>
      <c r="F1" t="s">
        <v>4</v>
      </c>
      <c r="G1" s="15" t="s">
        <v>22</v>
      </c>
      <c r="H1" s="15" t="s">
        <v>23</v>
      </c>
      <c r="I1" s="15" t="s">
        <v>24</v>
      </c>
      <c r="J1" s="15" t="s">
        <v>25</v>
      </c>
      <c r="K1" t="s">
        <v>9</v>
      </c>
    </row>
    <row r="2" spans="1:11" x14ac:dyDescent="0.3">
      <c r="A2" s="1"/>
      <c r="B2" s="11">
        <v>46311.762499999997</v>
      </c>
      <c r="C2" s="11">
        <v>46311.762546296297</v>
      </c>
      <c r="D2" s="12">
        <f t="shared" ref="D2:D11" si="0">C2-B2</f>
        <v>4.6296299842651933E-5</v>
      </c>
      <c r="E2" s="2" t="s">
        <v>10</v>
      </c>
      <c r="F2" s="2"/>
      <c r="G2" s="2"/>
      <c r="H2" s="2"/>
      <c r="I2" s="2"/>
      <c r="J2" s="2" t="s">
        <v>11</v>
      </c>
      <c r="K2" s="3"/>
    </row>
    <row r="3" spans="1:11" x14ac:dyDescent="0.3">
      <c r="A3" s="4">
        <v>2</v>
      </c>
      <c r="B3" s="13">
        <v>46311.764050925929</v>
      </c>
      <c r="C3" s="13">
        <v>46311.764756944445</v>
      </c>
      <c r="D3" s="14">
        <f t="shared" si="0"/>
        <v>7.0601851621177047E-4</v>
      </c>
      <c r="E3" s="5" t="s">
        <v>10</v>
      </c>
      <c r="F3" s="5"/>
      <c r="G3" s="5">
        <v>5</v>
      </c>
      <c r="H3" s="5">
        <v>5</v>
      </c>
      <c r="I3" s="5">
        <v>5</v>
      </c>
      <c r="J3" s="5" t="s">
        <v>11</v>
      </c>
      <c r="K3" s="6" t="s">
        <v>12</v>
      </c>
    </row>
    <row r="4" spans="1:11" x14ac:dyDescent="0.3">
      <c r="A4" s="1">
        <v>3</v>
      </c>
      <c r="B4" s="11">
        <v>46311.783043981479</v>
      </c>
      <c r="C4" s="11">
        <v>46311.784641203703</v>
      </c>
      <c r="D4" s="12">
        <f t="shared" si="0"/>
        <v>1.5972222245181911E-3</v>
      </c>
      <c r="E4" s="2" t="s">
        <v>10</v>
      </c>
      <c r="F4" s="2"/>
      <c r="G4" s="2">
        <v>5</v>
      </c>
      <c r="H4" s="2">
        <v>5</v>
      </c>
      <c r="I4" s="2">
        <v>5</v>
      </c>
      <c r="J4" s="2" t="s">
        <v>11</v>
      </c>
      <c r="K4" s="3" t="s">
        <v>13</v>
      </c>
    </row>
    <row r="5" spans="1:11" x14ac:dyDescent="0.3">
      <c r="A5" s="4">
        <v>4</v>
      </c>
      <c r="B5" s="13">
        <v>46311.785081018519</v>
      </c>
      <c r="C5" s="13">
        <v>46311.785868055558</v>
      </c>
      <c r="D5" s="14">
        <f t="shared" si="0"/>
        <v>7.8703703911742195E-4</v>
      </c>
      <c r="E5" s="5" t="s">
        <v>10</v>
      </c>
      <c r="F5" s="5"/>
      <c r="G5" s="5">
        <v>5</v>
      </c>
      <c r="H5" s="5">
        <v>5</v>
      </c>
      <c r="I5" s="5">
        <v>5</v>
      </c>
      <c r="J5" s="5" t="s">
        <v>11</v>
      </c>
      <c r="K5" s="6" t="s">
        <v>14</v>
      </c>
    </row>
    <row r="6" spans="1:11" x14ac:dyDescent="0.3">
      <c r="A6" s="1">
        <v>5</v>
      </c>
      <c r="B6" s="11">
        <v>46311.823576388888</v>
      </c>
      <c r="C6" s="11">
        <v>46311.824212962965</v>
      </c>
      <c r="D6" s="12">
        <f t="shared" si="0"/>
        <v>6.36574077361729E-4</v>
      </c>
      <c r="E6" s="2" t="s">
        <v>10</v>
      </c>
      <c r="F6" s="2"/>
      <c r="G6" s="2">
        <v>5</v>
      </c>
      <c r="H6" s="2">
        <v>5</v>
      </c>
      <c r="I6" s="2">
        <v>5</v>
      </c>
      <c r="J6" s="2" t="s">
        <v>15</v>
      </c>
      <c r="K6" s="3" t="s">
        <v>16</v>
      </c>
    </row>
    <row r="7" spans="1:11" x14ac:dyDescent="0.3">
      <c r="A7" s="4">
        <v>6</v>
      </c>
      <c r="B7" s="13">
        <v>46311.853668981479</v>
      </c>
      <c r="C7" s="13">
        <v>46311.853981481479</v>
      </c>
      <c r="D7" s="14">
        <f t="shared" si="0"/>
        <v>3.125000002910383E-4</v>
      </c>
      <c r="E7" s="5" t="s">
        <v>10</v>
      </c>
      <c r="F7" s="5"/>
      <c r="G7" s="5">
        <v>4</v>
      </c>
      <c r="H7" s="5">
        <v>4</v>
      </c>
      <c r="I7" s="5">
        <v>5</v>
      </c>
      <c r="J7" s="5" t="s">
        <v>11</v>
      </c>
      <c r="K7" s="6" t="s">
        <v>17</v>
      </c>
    </row>
    <row r="8" spans="1:11" x14ac:dyDescent="0.3">
      <c r="A8" s="1">
        <v>7</v>
      </c>
      <c r="B8" s="11">
        <v>46311.954988425925</v>
      </c>
      <c r="C8" s="11">
        <v>46311.956493055557</v>
      </c>
      <c r="D8" s="12">
        <f t="shared" si="0"/>
        <v>1.5046296321088448E-3</v>
      </c>
      <c r="E8" s="2" t="s">
        <v>10</v>
      </c>
      <c r="F8" s="2"/>
      <c r="G8" s="2">
        <v>3</v>
      </c>
      <c r="H8" s="2">
        <v>4</v>
      </c>
      <c r="I8" s="2">
        <v>3</v>
      </c>
      <c r="J8" s="2" t="s">
        <v>15</v>
      </c>
      <c r="K8" s="3" t="s">
        <v>18</v>
      </c>
    </row>
    <row r="9" spans="1:11" x14ac:dyDescent="0.3">
      <c r="A9" s="4">
        <v>8</v>
      </c>
      <c r="B9" s="13">
        <v>46313.494363425925</v>
      </c>
      <c r="C9" s="13">
        <v>46313.495127314818</v>
      </c>
      <c r="D9" s="14">
        <f t="shared" si="0"/>
        <v>7.638888928340748E-4</v>
      </c>
      <c r="E9" s="5" t="s">
        <v>10</v>
      </c>
      <c r="F9" s="5"/>
      <c r="G9" s="5">
        <v>5</v>
      </c>
      <c r="H9" s="5">
        <v>4</v>
      </c>
      <c r="I9" s="5">
        <v>5</v>
      </c>
      <c r="J9" s="5" t="s">
        <v>15</v>
      </c>
      <c r="K9" s="6" t="s">
        <v>19</v>
      </c>
    </row>
    <row r="10" spans="1:11" x14ac:dyDescent="0.3">
      <c r="A10" s="1">
        <v>9</v>
      </c>
      <c r="B10" s="11">
        <v>46313.499398148146</v>
      </c>
      <c r="C10" s="11">
        <v>46313.499837962961</v>
      </c>
      <c r="D10" s="12">
        <f t="shared" si="0"/>
        <v>4.398148157633841E-4</v>
      </c>
      <c r="E10" s="2" t="s">
        <v>10</v>
      </c>
      <c r="F10" s="2"/>
      <c r="G10" s="2">
        <v>4</v>
      </c>
      <c r="H10" s="2">
        <v>3</v>
      </c>
      <c r="I10" s="2">
        <v>4</v>
      </c>
      <c r="J10" s="2" t="s">
        <v>11</v>
      </c>
      <c r="K10" s="3" t="s">
        <v>20</v>
      </c>
    </row>
    <row r="11" spans="1:11" x14ac:dyDescent="0.3">
      <c r="A11" s="16">
        <v>10</v>
      </c>
      <c r="B11" s="17">
        <v>46313.535821759258</v>
      </c>
      <c r="C11" s="17">
        <v>46313.536180555559</v>
      </c>
      <c r="D11" s="18">
        <f t="shared" si="0"/>
        <v>3.5879630013369024E-4</v>
      </c>
      <c r="E11" s="19" t="s">
        <v>10</v>
      </c>
      <c r="F11" s="19"/>
      <c r="G11" s="19">
        <v>5</v>
      </c>
      <c r="H11" s="19">
        <v>5</v>
      </c>
      <c r="I11" s="19">
        <v>5</v>
      </c>
      <c r="J11" s="19" t="s">
        <v>11</v>
      </c>
      <c r="K11" s="20"/>
    </row>
    <row r="13" spans="1:11" ht="43.2" x14ac:dyDescent="0.3">
      <c r="F13" t="s">
        <v>36</v>
      </c>
      <c r="G13" s="15" t="s">
        <v>31</v>
      </c>
      <c r="H13" s="15" t="s">
        <v>32</v>
      </c>
      <c r="I13" s="15" t="s">
        <v>24</v>
      </c>
      <c r="J13" s="15" t="s">
        <v>25</v>
      </c>
    </row>
    <row r="14" spans="1:11" x14ac:dyDescent="0.3">
      <c r="F14" t="s">
        <v>35</v>
      </c>
      <c r="G14">
        <f>COUNTIF(G2:G11, "5")</f>
        <v>6</v>
      </c>
      <c r="H14">
        <f>COUNTIF(H2:H11, "5")</f>
        <v>5</v>
      </c>
      <c r="I14">
        <f>COUNTIF(I2:I11, "5")</f>
        <v>7</v>
      </c>
      <c r="J14">
        <f>COUNTIF(J2:J11, "5-10 minutes")</f>
        <v>3</v>
      </c>
    </row>
    <row r="15" spans="1:11" x14ac:dyDescent="0.3">
      <c r="F15" t="s">
        <v>33</v>
      </c>
      <c r="G15">
        <f>COUNTIF(G2:G11, "4")</f>
        <v>2</v>
      </c>
      <c r="H15">
        <f>COUNTIF(H2:H11, "4")</f>
        <v>3</v>
      </c>
      <c r="I15">
        <f>COUNTIF(I2:I11, "4")</f>
        <v>1</v>
      </c>
      <c r="J15">
        <f>COUNTIF(J2:J11, "10-15 minutes")</f>
        <v>7</v>
      </c>
    </row>
    <row r="16" spans="1:11" x14ac:dyDescent="0.3">
      <c r="F16" t="s">
        <v>34</v>
      </c>
      <c r="G16">
        <f>COUNTIF(G2:G11, "3")</f>
        <v>1</v>
      </c>
      <c r="H16">
        <f>COUNTIF(H2:H11, "3")</f>
        <v>1</v>
      </c>
      <c r="I16">
        <f>COUNTIF(I2:I11, "3")</f>
        <v>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Wait Time Rating</vt:lpstr>
      <vt:lpstr>Customer Survey Feedback</vt:lpstr>
      <vt:lpstr>Customer Service Rating</vt:lpstr>
      <vt:lpstr>Food Rating</vt:lpstr>
      <vt:lpstr>Added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denae mendez</dc:creator>
  <cp:keywords/>
  <dc:description/>
  <cp:lastModifiedBy>denae mendez</cp:lastModifiedBy>
  <cp:revision/>
  <dcterms:created xsi:type="dcterms:W3CDTF">2026-10-18T20:10:56Z</dcterms:created>
  <dcterms:modified xsi:type="dcterms:W3CDTF">2026-10-18T21:56:08Z</dcterms:modified>
  <cp:category/>
  <cp:contentStatus/>
</cp:coreProperties>
</file>