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workbookPr defaultThemeVersion="202300"/>
  <mc:AlternateContent xmlns:mc="http://schemas.openxmlformats.org/markup-compatibility/2006">
    <mc:Choice Requires="x15">
      <x15ac:absPath xmlns:x15ac="http://schemas.microsoft.com/office/spreadsheetml/2010/11/ac" url="C:\Users\denaemendez\Documents\DataAnalytics\pre-week-2\"/>
    </mc:Choice>
  </mc:AlternateContent>
  <xr:revisionPtr revIDLastSave="0" documentId="8_{FA3AD656-E007-4DC9-B030-3565DDCD4E5C}" xr6:coauthVersionLast="47" xr6:coauthVersionMax="47" xr10:uidLastSave="{00000000-0000-0000-0000-000000000000}"/>
  <bookViews>
    <workbookView xWindow="-108" yWindow="-108" windowWidth="23256" windowHeight="12456" xr2:uid="{B3F06A9E-C31F-41DC-96E3-D812C003BE7A}"/>
  </bookViews>
  <sheets>
    <sheet name="Store_Data" sheetId="1" r:id="rId1"/>
    <sheet name="Store_Summary"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C20" i="1" l="1"/>
  <c r="C18" i="1"/>
  <c r="C17" i="1"/>
  <c r="C16" i="1"/>
  <c r="C15" i="1"/>
  <c r="B20" i="1"/>
  <c r="B18" i="1"/>
  <c r="B17" i="1"/>
  <c r="B16" i="1"/>
  <c r="B15" i="1"/>
</calcChain>
</file>

<file path=xl/sharedStrings.xml><?xml version="1.0" encoding="utf-8"?>
<sst xmlns="http://schemas.openxmlformats.org/spreadsheetml/2006/main" count="23" uniqueCount="23">
  <si>
    <t>Store</t>
  </si>
  <si>
    <t>Monthly
Sales</t>
  </si>
  <si>
    <t>Store A</t>
  </si>
  <si>
    <t>Store B</t>
  </si>
  <si>
    <t>Store C</t>
  </si>
  <si>
    <t>Store D</t>
  </si>
  <si>
    <t>Store E</t>
  </si>
  <si>
    <t>Store F</t>
  </si>
  <si>
    <t>Store G</t>
  </si>
  <si>
    <t>Store H</t>
  </si>
  <si>
    <t>Store I</t>
  </si>
  <si>
    <t>Store J</t>
  </si>
  <si>
    <t>Store K</t>
  </si>
  <si>
    <t>Store L</t>
  </si>
  <si>
    <t>Mean</t>
  </si>
  <si>
    <t>Median</t>
  </si>
  <si>
    <t>Mode</t>
  </si>
  <si>
    <t>Range</t>
  </si>
  <si>
    <t>72 is a high value</t>
  </si>
  <si>
    <t>Standard
Deviation</t>
  </si>
  <si>
    <t>I am pleased to announce that the sales from the 12 stores have been really well this past month! The overall average is 49 and the data from the range suggests that the stores' performances are tightly grouped together!</t>
  </si>
  <si>
    <t>The data may appear to be a bit spread out but that's only because we have an outlier, in the best way possible! Store H has significantly out performed the other stores, earning a monthlly sale of  72!</t>
  </si>
  <si>
    <t>Perhaps we should see what went well with Store H and apply that to the other stores to continue increasing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</si>
</sst>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489E6-1A8B-418B-979E-36D3ACE78022}">
  <dimension ref="A1:C20"/>
  <sheetViews>
    <sheetView tabSelected="1" workbookViewId="0">
      <selection activeCell="C15" sqref="C15"/>
    </sheetView>
  </sheetViews>
  <sheetFormatPr defaultRowHeight="14.4" x14ac:dyDescent="0.3"/>
  <sheetData>
    <row r="1" spans="1:3" ht="28.8" x14ac:dyDescent="0.3">
      <c r="A1" t="s">
        <v>0</v>
      </c>
      <c r="B1" s="1" t="s">
        <v>1</v>
      </c>
    </row>
    <row r="2" spans="1:3" x14ac:dyDescent="0.3">
      <c r="A2" t="s">
        <v>2</v>
      </c>
      <c r="B2">
        <v>51</v>
      </c>
    </row>
    <row r="3" spans="1:3" x14ac:dyDescent="0.3">
      <c r="A3" t="s">
        <v>3</v>
      </c>
      <c r="B3">
        <v>44</v>
      </c>
    </row>
    <row r="4" spans="1:3" x14ac:dyDescent="0.3">
      <c r="A4" t="s">
        <v>4</v>
      </c>
      <c r="B4">
        <v>49</v>
      </c>
    </row>
    <row r="5" spans="1:3" x14ac:dyDescent="0.3">
      <c r="A5" t="s">
        <v>5</v>
      </c>
      <c r="B5">
        <v>46</v>
      </c>
    </row>
    <row r="6" spans="1:3" x14ac:dyDescent="0.3">
      <c r="A6" t="s">
        <v>6</v>
      </c>
      <c r="B6">
        <v>52</v>
      </c>
    </row>
    <row r="7" spans="1:3" x14ac:dyDescent="0.3">
      <c r="A7" t="s">
        <v>7</v>
      </c>
      <c r="B7">
        <v>47</v>
      </c>
    </row>
    <row r="8" spans="1:3" x14ac:dyDescent="0.3">
      <c r="A8" t="s">
        <v>8</v>
      </c>
      <c r="B8">
        <v>45</v>
      </c>
    </row>
    <row r="9" spans="1:3" x14ac:dyDescent="0.3">
      <c r="A9" t="s">
        <v>9</v>
      </c>
      <c r="B9">
        <v>72</v>
      </c>
    </row>
    <row r="10" spans="1:3" x14ac:dyDescent="0.3">
      <c r="A10" t="s">
        <v>10</v>
      </c>
      <c r="B10">
        <v>43</v>
      </c>
    </row>
    <row r="11" spans="1:3" x14ac:dyDescent="0.3">
      <c r="A11" t="s">
        <v>11</v>
      </c>
      <c r="B11">
        <v>48</v>
      </c>
    </row>
    <row r="12" spans="1:3" x14ac:dyDescent="0.3">
      <c r="A12" t="s">
        <v>12</v>
      </c>
      <c r="B12">
        <v>46</v>
      </c>
    </row>
    <row r="13" spans="1:3" x14ac:dyDescent="0.3">
      <c r="A13" t="s">
        <v>13</v>
      </c>
      <c r="B13">
        <v>50</v>
      </c>
    </row>
    <row r="15" spans="1:3" x14ac:dyDescent="0.3">
      <c r="A15" t="s">
        <v>14</v>
      </c>
      <c r="B15">
        <f>AVERAGE(B2:B13)</f>
        <v>49.416666666666664</v>
      </c>
      <c r="C15">
        <f>AVERAGE(B2:B8,B10:B13)</f>
        <v>47.363636363636367</v>
      </c>
    </row>
    <row r="16" spans="1:3" x14ac:dyDescent="0.3">
      <c r="A16" t="s">
        <v>15</v>
      </c>
      <c r="B16">
        <f>MEDIAN(B2:B13)</f>
        <v>47.5</v>
      </c>
      <c r="C16">
        <f>MEDIAN(B2:B8,B10:B13)</f>
        <v>47</v>
      </c>
    </row>
    <row r="17" spans="1:3" x14ac:dyDescent="0.3">
      <c r="A17" t="s">
        <v>16</v>
      </c>
      <c r="B17">
        <f>_xlfn.MODE.SNGL(B2:B13)</f>
        <v>46</v>
      </c>
      <c r="C17">
        <f>MODE(B2:B8,B10:B13)</f>
        <v>46</v>
      </c>
    </row>
    <row r="18" spans="1:3" x14ac:dyDescent="0.3">
      <c r="A18" t="s">
        <v>17</v>
      </c>
      <c r="B18">
        <f>MAX(B2:B13)-MIN(B2:B13)</f>
        <v>29</v>
      </c>
      <c r="C18">
        <f>MAX(B2:B8,B10:B13)-MIN(B2:B8,B10:B13)</f>
        <v>9</v>
      </c>
    </row>
    <row r="19" spans="1:3" ht="28.8" x14ac:dyDescent="0.3">
      <c r="A19" s="1" t="s">
        <v>18</v>
      </c>
    </row>
    <row r="20" spans="1:3" ht="28.8" x14ac:dyDescent="0.3">
      <c r="A20" s="1" t="s">
        <v>19</v>
      </c>
      <c r="B20">
        <f>_xlfn.STDEV.S(B2:B13)</f>
        <v>7.6331613054586773</v>
      </c>
      <c r="C20">
        <f>_xlfn.STDEV.S(B2:B8,B10:B13)</f>
        <v>2.9076701075853588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0E2B2-364B-4DF4-9ED6-F2D6685A4857}">
  <dimension ref="A1:A3"/>
  <sheetViews>
    <sheetView workbookViewId="0">
      <selection activeCell="D6" sqref="D6"/>
    </sheetView>
  </sheetViews>
  <sheetFormatPr defaultRowHeight="14.4" x14ac:dyDescent="0.3"/>
  <sheetData>
    <row r="1" spans="1:1" x14ac:dyDescent="0.3">
      <c r="A1" t="s">
        <v>20</v>
      </c>
    </row>
    <row r="2" spans="1:1" x14ac:dyDescent="0.3">
      <c r="A2" t="s">
        <v>21</v>
      </c>
    </row>
    <row r="3" spans="1:1" x14ac:dyDescent="0.3">
      <c r="A3" t="s">
        <v>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Store_Data</vt:lpstr>
      <vt:lpstr>Store_Summary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denae mendez</dc:creator>
  <cp:lastModifiedBy>denae mendez</cp:lastModifiedBy>
  <dcterms:created xsi:type="dcterms:W3CDTF">2026-10-04T00:49:58Z</dcterms:created>
  <dcterms:modified xsi:type="dcterms:W3CDTF">2026-10-04T01:46:51Z</dcterms:modified>
</cp:coreProperties>
</file>